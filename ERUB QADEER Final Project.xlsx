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\Documents\"/>
    </mc:Choice>
  </mc:AlternateContent>
  <xr:revisionPtr revIDLastSave="0" documentId="8_{F5702E70-090B-40AC-9C7B-08776FE00486}" xr6:coauthVersionLast="45" xr6:coauthVersionMax="45" xr10:uidLastSave="{00000000-0000-0000-0000-000000000000}"/>
  <bookViews>
    <workbookView xWindow="-108" yWindow="-108" windowWidth="23256" windowHeight="12576" activeTab="2" xr2:uid="{298943F1-50BC-4F6E-889A-E1B225284DAE}"/>
  </bookViews>
  <sheets>
    <sheet name="sheet1" sheetId="1" r:id="rId1"/>
    <sheet name="Sheet3" sheetId="3" r:id="rId2"/>
    <sheet name="Sheet2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1" i="2" l="1"/>
  <c r="E11" i="2"/>
  <c r="J6" i="2"/>
  <c r="G11" i="2" l="1"/>
  <c r="K8" i="2" l="1"/>
  <c r="K10" i="2"/>
  <c r="K6" i="2"/>
  <c r="J10" i="2"/>
  <c r="J9" i="2"/>
  <c r="J8" i="2"/>
  <c r="J7" i="2"/>
  <c r="G10" i="2"/>
  <c r="G9" i="2"/>
  <c r="G8" i="2"/>
  <c r="G7" i="2"/>
  <c r="G6" i="2"/>
  <c r="J14" i="1"/>
  <c r="J20" i="1" l="1"/>
  <c r="J19" i="1" l="1"/>
  <c r="J18" i="1"/>
  <c r="K10" i="1"/>
  <c r="K9" i="1"/>
  <c r="K8" i="1"/>
  <c r="K7" i="1"/>
  <c r="H11" i="1"/>
  <c r="J16" i="1" s="1"/>
  <c r="H10" i="1"/>
  <c r="H9" i="1"/>
  <c r="H8" i="1"/>
  <c r="H7" i="1"/>
  <c r="K11" i="1" l="1"/>
  <c r="J17" i="1" s="1"/>
  <c r="J15" i="1"/>
  <c r="I11" i="2"/>
</calcChain>
</file>

<file path=xl/sharedStrings.xml><?xml version="1.0" encoding="utf-8"?>
<sst xmlns="http://schemas.openxmlformats.org/spreadsheetml/2006/main" count="69" uniqueCount="49">
  <si>
    <t>ERUB QADEER</t>
  </si>
  <si>
    <t>Technical Skills Score:</t>
  </si>
  <si>
    <t xml:space="preserve">Soft Skills Score: </t>
  </si>
  <si>
    <t>Certifications:</t>
  </si>
  <si>
    <t>Career Readiness:</t>
  </si>
  <si>
    <t>FATIMA</t>
  </si>
  <si>
    <t xml:space="preserve">TOTAL TRAINING HOURS </t>
  </si>
  <si>
    <t>Training Hours</t>
  </si>
  <si>
    <t>Total Score:</t>
  </si>
  <si>
    <t>MINIMUM SKILL SCORE</t>
  </si>
  <si>
    <t xml:space="preserve">MAXIMUM SKILL SCORE </t>
  </si>
  <si>
    <t xml:space="preserve">JOB READY STUDENTS </t>
  </si>
  <si>
    <t>TOTAL STUDENTS</t>
  </si>
  <si>
    <t>TOTAL CERTIFICATIONSC (&gt;2)</t>
  </si>
  <si>
    <t>VLOOKUP</t>
  </si>
  <si>
    <t>bareera</t>
  </si>
  <si>
    <t>STUDENT'S SKILLS AND CAREER READINESS REPORT</t>
  </si>
  <si>
    <t>SR.#:</t>
  </si>
  <si>
    <t>TECHNICAL SKILLS SCORE:</t>
  </si>
  <si>
    <t>SOFT SKILLS SCORE:</t>
  </si>
  <si>
    <t>TOTAL SCORE:</t>
  </si>
  <si>
    <t>TRAINING HOURS:</t>
  </si>
  <si>
    <t>CERTIFICATIONS:</t>
  </si>
  <si>
    <t>CAREER READINESS:</t>
  </si>
  <si>
    <t>DUA</t>
  </si>
  <si>
    <t>RAMEEN</t>
  </si>
  <si>
    <t>ALIZAY</t>
  </si>
  <si>
    <t>ERUB</t>
  </si>
  <si>
    <t>TOTAL TRAINING HOURS:</t>
  </si>
  <si>
    <t>MAXIMUM SKILL SCORE:</t>
  </si>
  <si>
    <t>JOB READY STUDENTTS:</t>
  </si>
  <si>
    <t>TOTAL STUDENTS:</t>
  </si>
  <si>
    <t>STUDENT'S NAME:</t>
  </si>
  <si>
    <t>TOTAL CERTIFICATIONS (&gt;2):</t>
  </si>
  <si>
    <t>VLOOKUP:</t>
  </si>
  <si>
    <t>Column Labels</t>
  </si>
  <si>
    <t>Grand Total</t>
  </si>
  <si>
    <t>Row Labels</t>
  </si>
  <si>
    <t>(All)</t>
  </si>
  <si>
    <t>4 Total</t>
  </si>
  <si>
    <t>3 Total</t>
  </si>
  <si>
    <t>2 Total</t>
  </si>
  <si>
    <t>1 Total</t>
  </si>
  <si>
    <t>7 Total</t>
  </si>
  <si>
    <t>Job Ready</t>
  </si>
  <si>
    <t>Intermediate</t>
  </si>
  <si>
    <t>Job Ready Total</t>
  </si>
  <si>
    <t>Intermediate Total</t>
  </si>
  <si>
    <t>VLOOKUP: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</si>
</sst>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22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sz val="36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1" fillId="2" borderId="0" xfId="1"/>
    <xf numFmtId="0" fontId="5" fillId="2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4" borderId="0" xfId="0" applyFill="1"/>
    <xf numFmtId="0" fontId="4" fillId="4" borderId="0" xfId="2" applyFont="1" applyFill="1"/>
    <xf numFmtId="0" fontId="3" fillId="4" borderId="0" xfId="1" applyFont="1" applyFill="1"/>
    <xf numFmtId="0" fontId="1" fillId="4" borderId="0" xfId="1" applyFill="1"/>
    <xf numFmtId="0" fontId="0" fillId="0" borderId="0" xfId="0" quotePrefix="1"/>
    <xf numFmtId="0" fontId="2" fillId="3" borderId="0" xfId="2"/>
    <xf numFmtId="0" fontId="2" fillId="3" borderId="0" xfId="2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Sheet2!$D$6</c:f>
              <c:strCache>
                <c:ptCount val="1"/>
                <c:pt idx="0">
                  <c:v>RAMEEN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Sheet2!$E$5:$K$5</c:f>
              <c:strCache>
                <c:ptCount val="7"/>
                <c:pt idx="0">
                  <c:v>TECHNICAL SKILLS SCORE:</c:v>
                </c:pt>
                <c:pt idx="1">
                  <c:v>SOFT SKILLS SCORE:</c:v>
                </c:pt>
                <c:pt idx="2">
                  <c:v>TOTAL SCORE:</c:v>
                </c:pt>
                <c:pt idx="3">
                  <c:v>TRAINING HOURS:</c:v>
                </c:pt>
                <c:pt idx="4">
                  <c:v>CERTIFICATIONS:</c:v>
                </c:pt>
                <c:pt idx="5">
                  <c:v>CAREER READINESS:</c:v>
                </c:pt>
                <c:pt idx="6">
                  <c:v>TOTAL TRAINING HOURS:</c:v>
                </c:pt>
              </c:strCache>
            </c:strRef>
          </c:cat>
          <c:val>
            <c:numRef>
              <c:f>Sheet2!$E$6:$K$6</c:f>
              <c:numCache>
                <c:formatCode>General</c:formatCode>
                <c:ptCount val="7"/>
                <c:pt idx="0">
                  <c:v>79</c:v>
                </c:pt>
                <c:pt idx="1">
                  <c:v>89</c:v>
                </c:pt>
                <c:pt idx="2">
                  <c:v>168</c:v>
                </c:pt>
                <c:pt idx="3">
                  <c:v>65</c:v>
                </c:pt>
                <c:pt idx="4">
                  <c:v>3</c:v>
                </c:pt>
                <c:pt idx="5">
                  <c:v>0</c:v>
                </c:pt>
                <c:pt idx="6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7-4403-9B7D-36F5A83A6B14}"/>
            </c:ext>
          </c:extLst>
        </c:ser>
        <c:ser>
          <c:idx val="1"/>
          <c:order val="1"/>
          <c:tx>
            <c:strRef>
              <c:f>Sheet2!$D$7</c:f>
              <c:strCache>
                <c:ptCount val="1"/>
                <c:pt idx="0">
                  <c:v>DUA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Sheet2!$E$5:$K$5</c:f>
              <c:strCache>
                <c:ptCount val="7"/>
                <c:pt idx="0">
                  <c:v>TECHNICAL SKILLS SCORE:</c:v>
                </c:pt>
                <c:pt idx="1">
                  <c:v>SOFT SKILLS SCORE:</c:v>
                </c:pt>
                <c:pt idx="2">
                  <c:v>TOTAL SCORE:</c:v>
                </c:pt>
                <c:pt idx="3">
                  <c:v>TRAINING HOURS:</c:v>
                </c:pt>
                <c:pt idx="4">
                  <c:v>CERTIFICATIONS:</c:v>
                </c:pt>
                <c:pt idx="5">
                  <c:v>CAREER READINESS:</c:v>
                </c:pt>
                <c:pt idx="6">
                  <c:v>TOTAL TRAINING HOURS:</c:v>
                </c:pt>
              </c:strCache>
            </c:strRef>
          </c:cat>
          <c:val>
            <c:numRef>
              <c:f>Sheet2!$E$7:$K$7</c:f>
              <c:numCache>
                <c:formatCode>General</c:formatCode>
                <c:ptCount val="7"/>
                <c:pt idx="0">
                  <c:v>89</c:v>
                </c:pt>
                <c:pt idx="1">
                  <c:v>89</c:v>
                </c:pt>
                <c:pt idx="2">
                  <c:v>178</c:v>
                </c:pt>
                <c:pt idx="3">
                  <c:v>83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7-4403-9B7D-36F5A83A6B14}"/>
            </c:ext>
          </c:extLst>
        </c:ser>
        <c:ser>
          <c:idx val="2"/>
          <c:order val="2"/>
          <c:tx>
            <c:strRef>
              <c:f>Sheet2!$D$8</c:f>
              <c:strCache>
                <c:ptCount val="1"/>
                <c:pt idx="0">
                  <c:v>ALIZAY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Sheet2!$E$5:$K$5</c:f>
              <c:strCache>
                <c:ptCount val="7"/>
                <c:pt idx="0">
                  <c:v>TECHNICAL SKILLS SCORE:</c:v>
                </c:pt>
                <c:pt idx="1">
                  <c:v>SOFT SKILLS SCORE:</c:v>
                </c:pt>
                <c:pt idx="2">
                  <c:v>TOTAL SCORE:</c:v>
                </c:pt>
                <c:pt idx="3">
                  <c:v>TRAINING HOURS:</c:v>
                </c:pt>
                <c:pt idx="4">
                  <c:v>CERTIFICATIONS:</c:v>
                </c:pt>
                <c:pt idx="5">
                  <c:v>CAREER READINESS:</c:v>
                </c:pt>
                <c:pt idx="6">
                  <c:v>TOTAL TRAINING HOURS:</c:v>
                </c:pt>
              </c:strCache>
            </c:strRef>
          </c:cat>
          <c:val>
            <c:numRef>
              <c:f>Sheet2!$E$8:$K$8</c:f>
              <c:numCache>
                <c:formatCode>General</c:formatCode>
                <c:ptCount val="7"/>
                <c:pt idx="0">
                  <c:v>85</c:v>
                </c:pt>
                <c:pt idx="1">
                  <c:v>46</c:v>
                </c:pt>
                <c:pt idx="2">
                  <c:v>131</c:v>
                </c:pt>
                <c:pt idx="3">
                  <c:v>52</c:v>
                </c:pt>
                <c:pt idx="4">
                  <c:v>2</c:v>
                </c:pt>
                <c:pt idx="5">
                  <c:v>0</c:v>
                </c:pt>
                <c:pt idx="6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17-4403-9B7D-36F5A83A6B14}"/>
            </c:ext>
          </c:extLst>
        </c:ser>
        <c:ser>
          <c:idx val="3"/>
          <c:order val="3"/>
          <c:tx>
            <c:strRef>
              <c:f>Sheet2!$D$9</c:f>
              <c:strCache>
                <c:ptCount val="1"/>
                <c:pt idx="0">
                  <c:v>FATIMA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Sheet2!$E$5:$K$5</c:f>
              <c:strCache>
                <c:ptCount val="7"/>
                <c:pt idx="0">
                  <c:v>TECHNICAL SKILLS SCORE:</c:v>
                </c:pt>
                <c:pt idx="1">
                  <c:v>SOFT SKILLS SCORE:</c:v>
                </c:pt>
                <c:pt idx="2">
                  <c:v>TOTAL SCORE:</c:v>
                </c:pt>
                <c:pt idx="3">
                  <c:v>TRAINING HOURS:</c:v>
                </c:pt>
                <c:pt idx="4">
                  <c:v>CERTIFICATIONS:</c:v>
                </c:pt>
                <c:pt idx="5">
                  <c:v>CAREER READINESS:</c:v>
                </c:pt>
                <c:pt idx="6">
                  <c:v>TOTAL TRAINING HOURS:</c:v>
                </c:pt>
              </c:strCache>
            </c:strRef>
          </c:cat>
          <c:val>
            <c:numRef>
              <c:f>Sheet2!$E$9:$K$9</c:f>
              <c:numCache>
                <c:formatCode>General</c:formatCode>
                <c:ptCount val="7"/>
                <c:pt idx="0">
                  <c:v>93</c:v>
                </c:pt>
                <c:pt idx="1">
                  <c:v>24</c:v>
                </c:pt>
                <c:pt idx="2">
                  <c:v>117</c:v>
                </c:pt>
                <c:pt idx="3">
                  <c:v>51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17-4403-9B7D-36F5A83A6B14}"/>
            </c:ext>
          </c:extLst>
        </c:ser>
        <c:ser>
          <c:idx val="4"/>
          <c:order val="4"/>
          <c:tx>
            <c:strRef>
              <c:f>Sheet2!$D$10</c:f>
              <c:strCache>
                <c:ptCount val="1"/>
                <c:pt idx="0">
                  <c:v>ERUB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Sheet2!$E$5:$K$5</c:f>
              <c:strCache>
                <c:ptCount val="7"/>
                <c:pt idx="0">
                  <c:v>TECHNICAL SKILLS SCORE:</c:v>
                </c:pt>
                <c:pt idx="1">
                  <c:v>SOFT SKILLS SCORE:</c:v>
                </c:pt>
                <c:pt idx="2">
                  <c:v>TOTAL SCORE:</c:v>
                </c:pt>
                <c:pt idx="3">
                  <c:v>TRAINING HOURS:</c:v>
                </c:pt>
                <c:pt idx="4">
                  <c:v>CERTIFICATIONS:</c:v>
                </c:pt>
                <c:pt idx="5">
                  <c:v>CAREER READINESS:</c:v>
                </c:pt>
                <c:pt idx="6">
                  <c:v>TOTAL TRAINING HOURS:</c:v>
                </c:pt>
              </c:strCache>
            </c:strRef>
          </c:cat>
          <c:val>
            <c:numRef>
              <c:f>Sheet2!$E$10:$K$10</c:f>
              <c:numCache>
                <c:formatCode>General</c:formatCode>
                <c:ptCount val="7"/>
                <c:pt idx="0">
                  <c:v>78</c:v>
                </c:pt>
                <c:pt idx="1">
                  <c:v>96</c:v>
                </c:pt>
                <c:pt idx="2">
                  <c:v>174</c:v>
                </c:pt>
                <c:pt idx="3">
                  <c:v>48</c:v>
                </c:pt>
                <c:pt idx="4">
                  <c:v>4</c:v>
                </c:pt>
                <c:pt idx="5">
                  <c:v>0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17-4403-9B7D-36F5A83A6B14}"/>
            </c:ext>
          </c:extLst>
        </c:ser>
        <c:ser>
          <c:idx val="5"/>
          <c:order val="5"/>
          <c:tx>
            <c:strRef>
              <c:f>Sheet2!$D$11</c:f>
              <c:strCache>
                <c:ptCount val="1"/>
                <c:pt idx="0">
                  <c:v>JOB READY STUDENTTS: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Sheet2!$E$5:$K$5</c:f>
              <c:strCache>
                <c:ptCount val="7"/>
                <c:pt idx="0">
                  <c:v>TECHNICAL SKILLS SCORE:</c:v>
                </c:pt>
                <c:pt idx="1">
                  <c:v>SOFT SKILLS SCORE:</c:v>
                </c:pt>
                <c:pt idx="2">
                  <c:v>TOTAL SCORE:</c:v>
                </c:pt>
                <c:pt idx="3">
                  <c:v>TRAINING HOURS:</c:v>
                </c:pt>
                <c:pt idx="4">
                  <c:v>CERTIFICATIONS:</c:v>
                </c:pt>
                <c:pt idx="5">
                  <c:v>CAREER READINESS:</c:v>
                </c:pt>
                <c:pt idx="6">
                  <c:v>TOTAL TRAINING HOURS:</c:v>
                </c:pt>
              </c:strCache>
            </c:strRef>
          </c:cat>
          <c:val>
            <c:numRef>
              <c:f>Sheet2!$E$11:$K$11</c:f>
              <c:numCache>
                <c:formatCode>General</c:formatCode>
                <c:ptCount val="7"/>
                <c:pt idx="0">
                  <c:v>3</c:v>
                </c:pt>
                <c:pt idx="1">
                  <c:v>0</c:v>
                </c:pt>
                <c:pt idx="2">
                  <c:v>5</c:v>
                </c:pt>
                <c:pt idx="4">
                  <c:v>7</c:v>
                </c:pt>
                <c:pt idx="5">
                  <c:v>0</c:v>
                </c:pt>
                <c:pt idx="6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17-4403-9B7D-36F5A83A6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11</xdr:row>
      <xdr:rowOff>129540</xdr:rowOff>
    </xdr:from>
    <xdr:to>
      <xdr:col>12</xdr:col>
      <xdr:colOff>144780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FDEC59-BB9D-4C28-91B5-1A73A113E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K" refreshedDate="46052.968341898151" createdVersion="6" refreshedVersion="6" minRefreshableVersion="3" recordCount="6" xr:uid="{A12BB47D-29EC-49C5-98FF-48BCBB0CD72C}">
  <cacheSource type="worksheet">
    <worksheetSource ref="D5:K11" sheet="Sheet2"/>
  </cacheSource>
  <cacheFields count="8">
    <cacheField name="STUDENT'S NAME:" numFmtId="0">
      <sharedItems count="6">
        <s v="RAMEEN"/>
        <s v="DUA"/>
        <s v="ALIZAY"/>
        <s v="FATIMA"/>
        <s v="ERUB"/>
        <s v="JOB READY STUDENTTS:"/>
      </sharedItems>
    </cacheField>
    <cacheField name="TECHNICAL SKILLS SCORE:" numFmtId="0">
      <sharedItems containsSemiMixedTypes="0" containsString="0" containsNumber="1" containsInteger="1" minValue="3" maxValue="93" count="6">
        <n v="79"/>
        <n v="89"/>
        <n v="85"/>
        <n v="93"/>
        <n v="78"/>
        <n v="3"/>
      </sharedItems>
    </cacheField>
    <cacheField name="SOFT SKILLS SCORE:" numFmtId="0">
      <sharedItems containsMixedTypes="1" containsNumber="1" containsInteger="1" minValue="24" maxValue="96" count="5">
        <n v="89"/>
        <n v="46"/>
        <n v="24"/>
        <n v="96"/>
        <s v="TOTAL STUDENTS:"/>
      </sharedItems>
    </cacheField>
    <cacheField name="TOTAL SCORE:" numFmtId="0">
      <sharedItems containsSemiMixedTypes="0" containsString="0" containsNumber="1" containsInteger="1" minValue="5" maxValue="178" count="6">
        <n v="168"/>
        <n v="178"/>
        <n v="131"/>
        <n v="117"/>
        <n v="174"/>
        <n v="5"/>
      </sharedItems>
    </cacheField>
    <cacheField name="TRAINING HOURS:" numFmtId="0">
      <sharedItems containsMixedTypes="1" containsNumber="1" containsInteger="1" minValue="48" maxValue="83" count="6">
        <n v="65"/>
        <n v="83"/>
        <n v="52"/>
        <n v="51"/>
        <n v="48"/>
        <s v="TOTAL CERTIFICATIONS (&gt;2):"/>
      </sharedItems>
    </cacheField>
    <cacheField name="CERTIFICATIONS:" numFmtId="0">
      <sharedItems containsSemiMixedTypes="0" containsString="0" containsNumber="1" containsInteger="1" minValue="1" maxValue="7" count="5">
        <n v="3"/>
        <n v="1"/>
        <n v="2"/>
        <n v="4"/>
        <n v="7"/>
      </sharedItems>
    </cacheField>
    <cacheField name="CAREER READINESS:" numFmtId="0">
      <sharedItems count="3">
        <s v="Job Ready"/>
        <s v="Intermediate"/>
        <s v="VLOOKUP:"/>
      </sharedItems>
    </cacheField>
    <cacheField name="TOTAL TRAINING HOURS:" numFmtId="0">
      <sharedItems containsMixedTypes="1" containsNumber="1" containsInteger="1" minValue="89" maxValue="299" count="5">
        <n v="299"/>
        <s v="MAXIMUM SKILL SCORE:"/>
        <n v="117"/>
        <n v="96"/>
        <n v="8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x v="0"/>
    <x v="0"/>
    <x v="0"/>
    <x v="0"/>
    <x v="0"/>
  </r>
  <r>
    <x v="1"/>
    <x v="1"/>
    <x v="0"/>
    <x v="1"/>
    <x v="1"/>
    <x v="1"/>
    <x v="0"/>
    <x v="1"/>
  </r>
  <r>
    <x v="2"/>
    <x v="2"/>
    <x v="1"/>
    <x v="2"/>
    <x v="2"/>
    <x v="2"/>
    <x v="1"/>
    <x v="2"/>
  </r>
  <r>
    <x v="3"/>
    <x v="3"/>
    <x v="2"/>
    <x v="3"/>
    <x v="3"/>
    <x v="0"/>
    <x v="1"/>
    <x v="1"/>
  </r>
  <r>
    <x v="4"/>
    <x v="4"/>
    <x v="3"/>
    <x v="4"/>
    <x v="4"/>
    <x v="3"/>
    <x v="0"/>
    <x v="3"/>
  </r>
  <r>
    <x v="5"/>
    <x v="5"/>
    <x v="4"/>
    <x v="5"/>
    <x v="5"/>
    <x v="4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23B59-C258-4155-ADE8-49E43CE78893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S25" firstHeaderRow="1" firstDataRow="4" firstDataCol="1" rowPageCount="2" colPageCount="1"/>
  <pivotFields count="8">
    <pivotField axis="axisRow" showAll="0">
      <items count="7">
        <item x="2"/>
        <item x="1"/>
        <item x="4"/>
        <item x="3"/>
        <item x="5"/>
        <item x="0"/>
        <item t="default"/>
      </items>
    </pivotField>
    <pivotField axis="axisRow" showAll="0">
      <items count="7">
        <item x="5"/>
        <item x="4"/>
        <item x="0"/>
        <item x="2"/>
        <item x="1"/>
        <item x="3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axis="axisPage" showAll="0">
      <items count="7">
        <item x="5"/>
        <item x="3"/>
        <item x="2"/>
        <item x="0"/>
        <item x="4"/>
        <item x="1"/>
        <item t="default"/>
      </items>
    </pivotField>
    <pivotField axis="axisCol" showAll="0">
      <items count="7">
        <item x="4"/>
        <item x="3"/>
        <item x="2"/>
        <item x="0"/>
        <item x="1"/>
        <item x="5"/>
        <item t="default"/>
      </items>
    </pivotField>
    <pivotField axis="axisCol" showAll="0">
      <items count="6">
        <item x="1"/>
        <item x="2"/>
        <item x="0"/>
        <item x="3"/>
        <item x="4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6">
        <item x="4"/>
        <item x="3"/>
        <item x="2"/>
        <item x="0"/>
        <item x="1"/>
        <item t="default"/>
      </items>
    </pivotField>
  </pivotFields>
  <rowFields count="3">
    <field x="2"/>
    <field x="1"/>
    <field x="0"/>
  </rowFields>
  <rowItems count="18">
    <i>
      <x/>
    </i>
    <i r="1">
      <x v="5"/>
    </i>
    <i r="2">
      <x v="3"/>
    </i>
    <i>
      <x v="1"/>
    </i>
    <i r="1">
      <x v="3"/>
    </i>
    <i r="2">
      <x/>
    </i>
    <i>
      <x v="2"/>
    </i>
    <i r="1">
      <x v="2"/>
    </i>
    <i r="2">
      <x v="5"/>
    </i>
    <i r="1">
      <x v="4"/>
    </i>
    <i r="2">
      <x v="1"/>
    </i>
    <i>
      <x v="3"/>
    </i>
    <i r="1">
      <x v="1"/>
    </i>
    <i r="2">
      <x v="2"/>
    </i>
    <i>
      <x v="4"/>
    </i>
    <i r="1">
      <x/>
    </i>
    <i r="2">
      <x v="4"/>
    </i>
    <i t="grand">
      <x/>
    </i>
  </rowItems>
  <colFields count="3">
    <field x="5"/>
    <field x="6"/>
    <field x="4"/>
  </colFields>
  <colItems count="18">
    <i>
      <x/>
      <x v="1"/>
      <x v="4"/>
    </i>
    <i t="default" r="1">
      <x v="1"/>
    </i>
    <i t="default">
      <x/>
    </i>
    <i>
      <x v="1"/>
      <x/>
      <x v="2"/>
    </i>
    <i t="default" r="1">
      <x/>
    </i>
    <i t="default">
      <x v="1"/>
    </i>
    <i>
      <x v="2"/>
      <x/>
      <x v="1"/>
    </i>
    <i t="default" r="1">
      <x/>
    </i>
    <i r="1">
      <x v="1"/>
      <x v="3"/>
    </i>
    <i t="default" r="1">
      <x v="1"/>
    </i>
    <i t="default">
      <x v="2"/>
    </i>
    <i>
      <x v="3"/>
      <x v="1"/>
      <x/>
    </i>
    <i t="default" r="1">
      <x v="1"/>
    </i>
    <i t="default">
      <x v="3"/>
    </i>
    <i>
      <x v="4"/>
      <x v="2"/>
      <x v="5"/>
    </i>
    <i t="default" r="1">
      <x v="2"/>
    </i>
    <i t="default">
      <x v="4"/>
    </i>
    <i t="grand">
      <x/>
    </i>
  </colItems>
  <pageFields count="2">
    <pageField fld="3" hier="-1"/>
    <pageField fld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742E-8FDD-4B35-8920-C91F05715061}">
  <dimension ref="D4:K21"/>
  <sheetViews>
    <sheetView zoomScaleNormal="100" workbookViewId="0">
      <selection activeCell="F11" sqref="F11"/>
    </sheetView>
  </sheetViews>
  <sheetFormatPr defaultRowHeight="14.4" x14ac:dyDescent="0.3"/>
  <cols>
    <col min="1" max="1" width="8.77734375" customWidth="1"/>
    <col min="2" max="2" width="7.88671875" customWidth="1"/>
    <col min="3" max="3" width="0.109375" customWidth="1"/>
    <col min="4" max="4" width="15.44140625" customWidth="1"/>
    <col min="5" max="5" width="17.5546875" customWidth="1"/>
    <col min="6" max="7" width="17.77734375" customWidth="1"/>
    <col min="8" max="8" width="18" customWidth="1"/>
    <col min="9" max="9" width="17.77734375" customWidth="1"/>
    <col min="10" max="10" width="17.88671875" customWidth="1"/>
    <col min="11" max="11" width="17.6640625" customWidth="1"/>
  </cols>
  <sheetData>
    <row r="4" spans="4:11" ht="21" x14ac:dyDescent="0.4">
      <c r="D4" s="7"/>
      <c r="E4" s="7"/>
      <c r="F4" s="7"/>
      <c r="G4" s="7"/>
      <c r="H4" s="8" t="s">
        <v>0</v>
      </c>
      <c r="I4" s="7"/>
      <c r="J4" s="7"/>
      <c r="K4" s="7"/>
    </row>
    <row r="5" spans="4:11" ht="28.8" x14ac:dyDescent="0.55000000000000004">
      <c r="D5" s="7"/>
      <c r="E5" s="9"/>
      <c r="F5" s="9"/>
      <c r="G5" s="9"/>
      <c r="H5" s="9"/>
      <c r="I5" s="9"/>
      <c r="J5" s="9"/>
      <c r="K5" s="10"/>
    </row>
    <row r="6" spans="4:11" x14ac:dyDescent="0.3">
      <c r="D6" s="7"/>
      <c r="E6" s="7"/>
      <c r="F6" s="7" t="s">
        <v>1</v>
      </c>
      <c r="G6" s="7" t="s">
        <v>2</v>
      </c>
      <c r="H6" s="7" t="s">
        <v>8</v>
      </c>
      <c r="I6" s="7" t="s">
        <v>3</v>
      </c>
      <c r="J6" s="7" t="s">
        <v>7</v>
      </c>
      <c r="K6" s="7" t="s">
        <v>4</v>
      </c>
    </row>
    <row r="7" spans="4:11" x14ac:dyDescent="0.3">
      <c r="D7" s="7"/>
      <c r="E7" s="7"/>
      <c r="F7" s="7">
        <v>85</v>
      </c>
      <c r="G7" s="7">
        <v>78</v>
      </c>
      <c r="H7" s="7">
        <f>SUM(F7:G7)</f>
        <v>163</v>
      </c>
      <c r="I7" s="7">
        <v>3</v>
      </c>
      <c r="J7" s="7">
        <v>70</v>
      </c>
      <c r="K7" s="7" t="str">
        <f>IF(H7&gt;150,"Job Ready", "Intermediate")</f>
        <v>Job Ready</v>
      </c>
    </row>
    <row r="8" spans="4:11" x14ac:dyDescent="0.3">
      <c r="D8" s="7"/>
      <c r="E8" s="7"/>
      <c r="F8" s="7">
        <v>70</v>
      </c>
      <c r="G8" s="7">
        <v>75</v>
      </c>
      <c r="H8" s="7">
        <f>SUM(F8:G8)</f>
        <v>145</v>
      </c>
      <c r="I8" s="7">
        <v>4</v>
      </c>
      <c r="J8" s="7">
        <v>48</v>
      </c>
      <c r="K8" s="7" t="str">
        <f>IF(H8&gt;150,"Job Ready","Intermediate")</f>
        <v>Intermediate</v>
      </c>
    </row>
    <row r="9" spans="4:11" x14ac:dyDescent="0.3">
      <c r="D9" s="7"/>
      <c r="E9" s="7"/>
      <c r="F9" s="7"/>
      <c r="G9" s="7">
        <v>60</v>
      </c>
      <c r="H9" s="7">
        <f>SUM(F9:G9)</f>
        <v>60</v>
      </c>
      <c r="I9" s="7">
        <v>2</v>
      </c>
      <c r="J9" s="7"/>
      <c r="K9" s="7" t="str">
        <f>IF(H9&gt;150,"Job Ready","Intermediate")</f>
        <v>Intermediate</v>
      </c>
    </row>
    <row r="10" spans="4:11" x14ac:dyDescent="0.3">
      <c r="D10" s="7"/>
      <c r="E10" s="7"/>
      <c r="F10" s="7">
        <v>92</v>
      </c>
      <c r="G10" s="7">
        <v>88</v>
      </c>
      <c r="H10" s="7">
        <f>SUM(F10:G10)</f>
        <v>180</v>
      </c>
      <c r="I10" s="7">
        <v>3</v>
      </c>
      <c r="J10" s="7">
        <v>56</v>
      </c>
      <c r="K10" s="7" t="str">
        <f>IF(H10&gt;150,"Job Ready","intermediate")</f>
        <v>Job Ready</v>
      </c>
    </row>
    <row r="11" spans="4:11" x14ac:dyDescent="0.3">
      <c r="D11" s="7"/>
      <c r="E11" s="7"/>
      <c r="F11" s="7"/>
      <c r="G11" s="7">
        <v>68</v>
      </c>
      <c r="H11" s="7">
        <f>SUM(F11:G11)</f>
        <v>68</v>
      </c>
      <c r="I11" s="7">
        <v>5</v>
      </c>
      <c r="J11" s="7">
        <v>50</v>
      </c>
      <c r="K11" s="7" t="str">
        <f>IF(H11&gt;150,"job ready","intermediate")</f>
        <v>intermediate</v>
      </c>
    </row>
    <row r="12" spans="4:11" x14ac:dyDescent="0.3">
      <c r="D12" s="7"/>
      <c r="E12" s="7" t="s">
        <v>6</v>
      </c>
      <c r="F12" s="7"/>
      <c r="G12" s="7"/>
      <c r="H12" s="7"/>
      <c r="I12" s="7"/>
      <c r="J12" s="7"/>
      <c r="K12" s="7"/>
    </row>
    <row r="13" spans="4:11" x14ac:dyDescent="0.3">
      <c r="D13" s="7"/>
      <c r="E13" s="7"/>
      <c r="F13" s="7"/>
      <c r="G13" s="7"/>
      <c r="H13" s="7"/>
      <c r="I13" s="7"/>
      <c r="J13" s="7"/>
      <c r="K13" s="7"/>
    </row>
    <row r="14" spans="4:11" x14ac:dyDescent="0.3">
      <c r="D14" s="7"/>
      <c r="E14" s="7"/>
      <c r="F14" s="7"/>
      <c r="G14" s="7"/>
      <c r="H14" s="7"/>
      <c r="I14" s="7"/>
      <c r="J14" s="7">
        <f>SUM(J7:J11)</f>
        <v>224</v>
      </c>
      <c r="K14" s="7"/>
    </row>
    <row r="15" spans="4:11" x14ac:dyDescent="0.3">
      <c r="D15" s="7"/>
      <c r="E15" s="7" t="s">
        <v>9</v>
      </c>
      <c r="F15" s="7"/>
      <c r="G15" s="7"/>
      <c r="H15" s="7"/>
      <c r="I15" s="7"/>
      <c r="J15" s="7">
        <f>MIN(H7:H11)</f>
        <v>60</v>
      </c>
      <c r="K15" s="7"/>
    </row>
    <row r="16" spans="4:11" x14ac:dyDescent="0.3">
      <c r="D16" s="7"/>
      <c r="E16" s="7" t="s">
        <v>10</v>
      </c>
      <c r="F16" s="7"/>
      <c r="G16" s="7"/>
      <c r="H16" s="7"/>
      <c r="I16" s="7"/>
      <c r="J16" s="7">
        <f>MAX(H7:H11)</f>
        <v>180</v>
      </c>
      <c r="K16" s="7"/>
    </row>
    <row r="17" spans="4:11" x14ac:dyDescent="0.3">
      <c r="D17" s="7"/>
      <c r="E17" s="7" t="s">
        <v>11</v>
      </c>
      <c r="F17" s="7"/>
      <c r="G17" s="7"/>
      <c r="H17" s="7"/>
      <c r="I17" s="7"/>
      <c r="J17" s="7">
        <f>COUNTIF(K7:K11,"job ready")</f>
        <v>2</v>
      </c>
      <c r="K17" s="7"/>
    </row>
    <row r="18" spans="4:11" x14ac:dyDescent="0.3">
      <c r="D18" s="7"/>
      <c r="E18" s="7" t="s">
        <v>12</v>
      </c>
      <c r="F18" s="7"/>
      <c r="G18" s="7"/>
      <c r="H18" s="7"/>
      <c r="I18" s="7"/>
      <c r="J18" s="7">
        <f>COUNT(D7:D11)</f>
        <v>0</v>
      </c>
      <c r="K18" s="7"/>
    </row>
    <row r="19" spans="4:11" x14ac:dyDescent="0.3">
      <c r="D19" s="7"/>
      <c r="E19" s="7" t="s">
        <v>13</v>
      </c>
      <c r="F19" s="7"/>
      <c r="G19" s="7"/>
      <c r="H19" s="7"/>
      <c r="I19" s="7"/>
      <c r="J19" s="7">
        <f ca="1">SUMIF(D6:J11,"&gt;2",I6:I11)</f>
        <v>0</v>
      </c>
      <c r="K19" s="7"/>
    </row>
    <row r="20" spans="4:11" x14ac:dyDescent="0.3">
      <c r="D20" s="7"/>
      <c r="E20" s="7" t="s">
        <v>14</v>
      </c>
      <c r="F20" s="7"/>
      <c r="G20" s="7"/>
      <c r="H20" s="7"/>
      <c r="I20" s="7" t="s">
        <v>15</v>
      </c>
      <c r="J20" s="7" t="e">
        <f>VLOOKUP(I20,E5:K11,3,)</f>
        <v>#N/A</v>
      </c>
      <c r="K20" s="7"/>
    </row>
    <row r="21" spans="4:11" x14ac:dyDescent="0.3">
      <c r="D21" s="7"/>
      <c r="E21" s="7"/>
      <c r="F21" s="7"/>
      <c r="G21" s="7"/>
      <c r="H21" s="7"/>
      <c r="I21" s="7"/>
      <c r="J21" s="7"/>
      <c r="K21" s="7"/>
    </row>
  </sheetData>
  <dataValidations count="5">
    <dataValidation type="textLength" operator="equal" allowBlank="1" showInputMessage="1" showErrorMessage="1" errorTitle="DATA VALIDATION APPLIED BY USER" error="PLEASE ENTER ONLY #3" promptTitle="ERUB QADEER" sqref="I7" xr:uid="{D9163E31-3608-4C0A-9D4A-258B1E8A90D7}">
      <formula1>3</formula1>
    </dataValidation>
    <dataValidation type="textLength" operator="equal" allowBlank="1" showInputMessage="1" showErrorMessage="1" errorTitle="WRITE ONLY #4" error="DATA VALIDATION IS APPLIED" promptTitle="ERUB QADERER" sqref="I8" xr:uid="{657AEBA2-DA2E-4CFF-9355-4F101413DE75}">
      <formula1>1</formula1>
    </dataValidation>
    <dataValidation type="textLength" operator="equal" allowBlank="1" showInputMessage="1" showErrorMessage="1" errorTitle="PLEASE WRITE ONLY #2" error="DATA VALIDATION IS APPLIED BY THE USER" promptTitle="ERUB QADEER" sqref="I9" xr:uid="{4D3215C9-6A00-49F0-979B-517B371AE6B2}">
      <formula1>1</formula1>
    </dataValidation>
    <dataValidation type="textLength" operator="equal" allowBlank="1" showInputMessage="1" showErrorMessage="1" errorTitle="PLEASE WRITE ONLY #3" error="DATA VALIDATION IS APPLIED BY THE USER" promptTitle="ERUB QADEER" sqref="I10" xr:uid="{8D0B3336-724A-41EF-8088-E39DC0A44D5B}">
      <formula1>1</formula1>
    </dataValidation>
    <dataValidation type="textLength" operator="equal" allowBlank="1" showInputMessage="1" showErrorMessage="1" errorTitle="PLEASE WRITE ONLY #5" error="DATA VALIDATION IS APPLIED BY THE USER" promptTitle="ERUB QADEER" sqref="I11" xr:uid="{E927744F-4077-441D-B785-308C494069A3}">
      <formula1>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6A17-7805-463D-8601-9946E05D8453}">
  <dimension ref="A1:S25"/>
  <sheetViews>
    <sheetView workbookViewId="0">
      <selection activeCell="K2" sqref="K2"/>
    </sheetView>
  </sheetViews>
  <sheetFormatPr defaultRowHeight="14.4" x14ac:dyDescent="0.3"/>
  <cols>
    <col min="1" max="1" width="27" bestFit="1" customWidth="1"/>
    <col min="2" max="2" width="15.5546875" bestFit="1" customWidth="1"/>
    <col min="3" max="3" width="14.33203125" bestFit="1" customWidth="1"/>
    <col min="4" max="4" width="6.6640625" bestFit="1" customWidth="1"/>
    <col min="5" max="5" width="13.88671875" bestFit="1" customWidth="1"/>
    <col min="6" max="6" width="16.6640625" bestFit="1" customWidth="1"/>
    <col min="7" max="7" width="6.6640625" bestFit="1" customWidth="1"/>
    <col min="8" max="8" width="13.88671875" bestFit="1" customWidth="1"/>
    <col min="9" max="9" width="16.6640625" bestFit="1" customWidth="1"/>
    <col min="10" max="10" width="11.5546875" bestFit="1" customWidth="1"/>
    <col min="11" max="11" width="14.33203125" bestFit="1" customWidth="1"/>
    <col min="12" max="12" width="6.6640625" bestFit="1" customWidth="1"/>
    <col min="13" max="13" width="11.5546875" bestFit="1" customWidth="1"/>
    <col min="14" max="14" width="14.33203125" bestFit="1" customWidth="1"/>
    <col min="15" max="15" width="6.6640625" bestFit="1" customWidth="1"/>
    <col min="16" max="16" width="25.44140625" bestFit="1" customWidth="1"/>
    <col min="17" max="17" width="14.6640625" bestFit="1" customWidth="1"/>
    <col min="18" max="18" width="6.6640625" bestFit="1" customWidth="1"/>
    <col min="19" max="19" width="10.77734375" bestFit="1" customWidth="1"/>
    <col min="20" max="20" width="7.6640625" bestFit="1" customWidth="1"/>
    <col min="21" max="21" width="6.6640625" bestFit="1" customWidth="1"/>
    <col min="22" max="22" width="11.88671875" bestFit="1" customWidth="1"/>
    <col min="23" max="23" width="7.6640625" bestFit="1" customWidth="1"/>
    <col min="24" max="24" width="6.6640625" bestFit="1" customWidth="1"/>
    <col min="25" max="25" width="11.88671875" bestFit="1" customWidth="1"/>
    <col min="26" max="26" width="7.6640625" bestFit="1" customWidth="1"/>
    <col min="27" max="27" width="9.5546875" bestFit="1" customWidth="1"/>
    <col min="28" max="28" width="7.6640625" bestFit="1" customWidth="1"/>
    <col min="29" max="29" width="6.6640625" bestFit="1" customWidth="1"/>
    <col min="30" max="30" width="9.5546875" bestFit="1" customWidth="1"/>
    <col min="31" max="31" width="7.6640625" bestFit="1" customWidth="1"/>
    <col min="32" max="32" width="6.6640625" bestFit="1" customWidth="1"/>
    <col min="33" max="33" width="27.44140625" bestFit="1" customWidth="1"/>
    <col min="34" max="34" width="30.21875" bestFit="1" customWidth="1"/>
    <col min="35" max="35" width="6.6640625" bestFit="1" customWidth="1"/>
    <col min="36" max="36" width="24.44140625" bestFit="1" customWidth="1"/>
    <col min="37" max="37" width="35.33203125" bestFit="1" customWidth="1"/>
    <col min="38" max="38" width="24.44140625" bestFit="1" customWidth="1"/>
    <col min="39" max="39" width="35.33203125" bestFit="1" customWidth="1"/>
  </cols>
  <sheetData>
    <row r="1" spans="1:19" x14ac:dyDescent="0.3">
      <c r="A1" s="3" t="s">
        <v>20</v>
      </c>
      <c r="B1" t="s">
        <v>38</v>
      </c>
    </row>
    <row r="2" spans="1:19" x14ac:dyDescent="0.3">
      <c r="A2" s="3" t="s">
        <v>28</v>
      </c>
      <c r="B2" t="s">
        <v>38</v>
      </c>
    </row>
    <row r="4" spans="1:19" x14ac:dyDescent="0.3">
      <c r="B4" s="3" t="s">
        <v>35</v>
      </c>
    </row>
    <row r="5" spans="1:19" x14ac:dyDescent="0.3">
      <c r="B5">
        <v>1</v>
      </c>
      <c r="D5" t="s">
        <v>42</v>
      </c>
      <c r="E5">
        <v>2</v>
      </c>
      <c r="G5" t="s">
        <v>41</v>
      </c>
      <c r="H5">
        <v>3</v>
      </c>
      <c r="L5" t="s">
        <v>40</v>
      </c>
      <c r="M5">
        <v>4</v>
      </c>
      <c r="O5" t="s">
        <v>39</v>
      </c>
      <c r="P5">
        <v>7</v>
      </c>
      <c r="R5" t="s">
        <v>43</v>
      </c>
      <c r="S5" t="s">
        <v>36</v>
      </c>
    </row>
    <row r="6" spans="1:19" x14ac:dyDescent="0.3">
      <c r="B6" t="s">
        <v>44</v>
      </c>
      <c r="C6" t="s">
        <v>46</v>
      </c>
      <c r="E6" t="s">
        <v>45</v>
      </c>
      <c r="F6" t="s">
        <v>47</v>
      </c>
      <c r="H6" t="s">
        <v>45</v>
      </c>
      <c r="I6" t="s">
        <v>47</v>
      </c>
      <c r="J6" t="s">
        <v>44</v>
      </c>
      <c r="K6" t="s">
        <v>46</v>
      </c>
      <c r="M6" t="s">
        <v>44</v>
      </c>
      <c r="N6" t="s">
        <v>46</v>
      </c>
      <c r="P6" t="s">
        <v>34</v>
      </c>
      <c r="Q6" t="s">
        <v>48</v>
      </c>
    </row>
    <row r="7" spans="1:19" x14ac:dyDescent="0.3">
      <c r="A7" s="3" t="s">
        <v>37</v>
      </c>
      <c r="B7">
        <v>83</v>
      </c>
      <c r="E7">
        <v>52</v>
      </c>
      <c r="H7">
        <v>51</v>
      </c>
      <c r="J7">
        <v>65</v>
      </c>
      <c r="M7">
        <v>48</v>
      </c>
      <c r="P7" t="s">
        <v>33</v>
      </c>
    </row>
    <row r="8" spans="1:19" x14ac:dyDescent="0.3">
      <c r="A8" s="4">
        <v>24</v>
      </c>
    </row>
    <row r="9" spans="1:19" x14ac:dyDescent="0.3">
      <c r="A9" s="5">
        <v>93</v>
      </c>
    </row>
    <row r="10" spans="1:19" x14ac:dyDescent="0.3">
      <c r="A10" s="6" t="s">
        <v>5</v>
      </c>
    </row>
    <row r="11" spans="1:19" x14ac:dyDescent="0.3">
      <c r="A11" s="4">
        <v>46</v>
      </c>
    </row>
    <row r="12" spans="1:19" x14ac:dyDescent="0.3">
      <c r="A12" s="5">
        <v>85</v>
      </c>
    </row>
    <row r="13" spans="1:19" x14ac:dyDescent="0.3">
      <c r="A13" s="6" t="s">
        <v>26</v>
      </c>
    </row>
    <row r="14" spans="1:19" x14ac:dyDescent="0.3">
      <c r="A14" s="4">
        <v>89</v>
      </c>
    </row>
    <row r="15" spans="1:19" x14ac:dyDescent="0.3">
      <c r="A15" s="5">
        <v>79</v>
      </c>
    </row>
    <row r="16" spans="1:19" x14ac:dyDescent="0.3">
      <c r="A16" s="6" t="s">
        <v>25</v>
      </c>
    </row>
    <row r="17" spans="1:1" x14ac:dyDescent="0.3">
      <c r="A17" s="5">
        <v>89</v>
      </c>
    </row>
    <row r="18" spans="1:1" x14ac:dyDescent="0.3">
      <c r="A18" s="6" t="s">
        <v>24</v>
      </c>
    </row>
    <row r="19" spans="1:1" x14ac:dyDescent="0.3">
      <c r="A19" s="4">
        <v>96</v>
      </c>
    </row>
    <row r="20" spans="1:1" x14ac:dyDescent="0.3">
      <c r="A20" s="5">
        <v>78</v>
      </c>
    </row>
    <row r="21" spans="1:1" x14ac:dyDescent="0.3">
      <c r="A21" s="6" t="s">
        <v>27</v>
      </c>
    </row>
    <row r="22" spans="1:1" x14ac:dyDescent="0.3">
      <c r="A22" s="4" t="s">
        <v>31</v>
      </c>
    </row>
    <row r="23" spans="1:1" x14ac:dyDescent="0.3">
      <c r="A23" s="5">
        <v>3</v>
      </c>
    </row>
    <row r="24" spans="1:1" x14ac:dyDescent="0.3">
      <c r="A24" s="6" t="s">
        <v>30</v>
      </c>
    </row>
    <row r="25" spans="1:1" x14ac:dyDescent="0.3">
      <c r="A25" s="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901F-CFFB-488C-A3FE-1D9BED859AB9}">
  <dimension ref="B4:L12"/>
  <sheetViews>
    <sheetView tabSelected="1" topLeftCell="B2" workbookViewId="0">
      <selection activeCell="F12" sqref="F12"/>
    </sheetView>
  </sheetViews>
  <sheetFormatPr defaultRowHeight="14.4" x14ac:dyDescent="0.3"/>
  <cols>
    <col min="2" max="2" width="8.5546875" customWidth="1"/>
    <col min="3" max="3" width="8.88671875" hidden="1" customWidth="1"/>
    <col min="4" max="4" width="24.6640625" customWidth="1"/>
    <col min="5" max="5" width="22.5546875" customWidth="1"/>
    <col min="6" max="6" width="21.33203125" customWidth="1"/>
    <col min="7" max="7" width="17.5546875" customWidth="1"/>
    <col min="8" max="8" width="24.21875" customWidth="1"/>
    <col min="9" max="9" width="18" customWidth="1"/>
    <col min="10" max="10" width="19.109375" customWidth="1"/>
    <col min="11" max="11" width="26.6640625" customWidth="1"/>
  </cols>
  <sheetData>
    <row r="4" spans="2:12" ht="46.2" x14ac:dyDescent="0.85">
      <c r="E4" s="2" t="s">
        <v>16</v>
      </c>
      <c r="F4" s="2"/>
      <c r="G4" s="2"/>
      <c r="H4" s="2"/>
      <c r="I4" s="2"/>
      <c r="J4" s="1"/>
      <c r="K4" s="1"/>
      <c r="L4" s="1"/>
    </row>
    <row r="5" spans="2:12" x14ac:dyDescent="0.3">
      <c r="B5" s="13" t="s">
        <v>17</v>
      </c>
      <c r="C5" s="13"/>
      <c r="D5" s="13" t="s">
        <v>32</v>
      </c>
      <c r="E5" s="13" t="s">
        <v>18</v>
      </c>
      <c r="F5" s="13" t="s">
        <v>19</v>
      </c>
      <c r="G5" s="13" t="s">
        <v>20</v>
      </c>
      <c r="H5" s="13" t="s">
        <v>21</v>
      </c>
      <c r="I5" s="13" t="s">
        <v>22</v>
      </c>
      <c r="J5" s="13" t="s">
        <v>23</v>
      </c>
      <c r="K5" s="13" t="s">
        <v>28</v>
      </c>
    </row>
    <row r="6" spans="2:12" x14ac:dyDescent="0.3">
      <c r="B6">
        <v>1</v>
      </c>
      <c r="D6" t="s">
        <v>25</v>
      </c>
      <c r="E6">
        <v>79</v>
      </c>
      <c r="F6">
        <v>89</v>
      </c>
      <c r="G6">
        <f>SUM(E6:F6)</f>
        <v>168</v>
      </c>
      <c r="H6">
        <v>65</v>
      </c>
      <c r="I6">
        <v>3</v>
      </c>
      <c r="J6" t="str">
        <f>IF(G6&gt;150,"Job Ready","Intermediate")</f>
        <v>Job Ready</v>
      </c>
      <c r="K6">
        <f>SUM(H6:H10)</f>
        <v>299</v>
      </c>
    </row>
    <row r="7" spans="2:12" x14ac:dyDescent="0.3">
      <c r="B7">
        <v>2</v>
      </c>
      <c r="D7" t="s">
        <v>24</v>
      </c>
      <c r="E7">
        <v>89</v>
      </c>
      <c r="F7">
        <v>89</v>
      </c>
      <c r="G7">
        <f>SUM(E7:F7)</f>
        <v>178</v>
      </c>
      <c r="H7">
        <v>83</v>
      </c>
      <c r="I7">
        <v>1</v>
      </c>
      <c r="J7" t="str">
        <f>IF(G7&gt;150,"Job Ready","Intermediate")</f>
        <v>Job Ready</v>
      </c>
      <c r="K7" t="s">
        <v>29</v>
      </c>
    </row>
    <row r="8" spans="2:12" x14ac:dyDescent="0.3">
      <c r="B8">
        <v>3</v>
      </c>
      <c r="D8" t="s">
        <v>26</v>
      </c>
      <c r="E8">
        <v>85</v>
      </c>
      <c r="F8">
        <v>46</v>
      </c>
      <c r="G8">
        <f>SUM(E8:F8)</f>
        <v>131</v>
      </c>
      <c r="H8">
        <v>52</v>
      </c>
      <c r="I8">
        <v>2</v>
      </c>
      <c r="J8" t="str">
        <f>IF(G8&gt;150,"job ready","Intermediate")</f>
        <v>Intermediate</v>
      </c>
      <c r="K8">
        <f>MIN(G6:G10)</f>
        <v>117</v>
      </c>
    </row>
    <row r="9" spans="2:12" x14ac:dyDescent="0.3">
      <c r="B9">
        <v>4</v>
      </c>
      <c r="D9" t="s">
        <v>5</v>
      </c>
      <c r="E9">
        <v>93</v>
      </c>
      <c r="F9">
        <v>24</v>
      </c>
      <c r="G9">
        <f>SUM(E9:F9)</f>
        <v>117</v>
      </c>
      <c r="H9">
        <v>51</v>
      </c>
      <c r="I9">
        <v>3</v>
      </c>
      <c r="J9" t="str">
        <f>IF(G9&gt;150,"JOB READY","Intermediate")</f>
        <v>Intermediate</v>
      </c>
      <c r="K9" t="s">
        <v>29</v>
      </c>
    </row>
    <row r="10" spans="2:12" x14ac:dyDescent="0.3">
      <c r="B10">
        <v>5</v>
      </c>
      <c r="D10" t="s">
        <v>27</v>
      </c>
      <c r="E10">
        <v>78</v>
      </c>
      <c r="F10">
        <v>96</v>
      </c>
      <c r="G10">
        <f>SUM(E10:F10)</f>
        <v>174</v>
      </c>
      <c r="H10">
        <v>48</v>
      </c>
      <c r="I10">
        <v>4</v>
      </c>
      <c r="J10" t="str">
        <f>IF(G10&gt;150,"job ready","Intermediate")</f>
        <v>job ready</v>
      </c>
      <c r="K10">
        <f>MAX(F6:F10)</f>
        <v>96</v>
      </c>
    </row>
    <row r="11" spans="2:12" x14ac:dyDescent="0.3">
      <c r="D11" s="12" t="s">
        <v>30</v>
      </c>
      <c r="E11" s="11">
        <f>COUNTIF(B5:K10,"Job Ready")</f>
        <v>3</v>
      </c>
      <c r="F11" s="12" t="s">
        <v>31</v>
      </c>
      <c r="G11">
        <f>COUNT(B6:B10)</f>
        <v>5</v>
      </c>
      <c r="I11">
        <f ca="1">SUMIF(I5:I11,"&gt;2",B4:M10)</f>
        <v>7</v>
      </c>
      <c r="J11" s="12" t="s">
        <v>34</v>
      </c>
      <c r="K11">
        <f>VLOOKUP(L11,D5:J10,"3",)</f>
        <v>89</v>
      </c>
      <c r="L11" t="s">
        <v>24</v>
      </c>
    </row>
    <row r="12" spans="2:12" x14ac:dyDescent="0.3">
      <c r="E12" s="11"/>
    </row>
  </sheetData>
  <dataValidations count="1">
    <dataValidation type="textLength" operator="equal" allowBlank="1" showInputMessage="1" showErrorMessage="1" errorTitle="PLEASE WRITE ONLY #3" error="DATA VALIDATION IS APPLIED BY THE USER" promptTitle="ERUB QADEER" sqref="E11" xr:uid="{345CB23F-C5B7-41A2-85EA-1FC333420F90}">
      <formula1>1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</dc:creator>
  <cp:lastModifiedBy>MAK</cp:lastModifiedBy>
  <dcterms:created xsi:type="dcterms:W3CDTF">2026-01-27T10:58:59Z</dcterms:created>
  <dcterms:modified xsi:type="dcterms:W3CDTF">2026-01-31T17:57:47Z</dcterms:modified>
</cp:coreProperties>
</file>